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Виктория\Desktop\ITMO\Лабораторные\physics_labs\lab5\"/>
    </mc:Choice>
  </mc:AlternateContent>
  <xr:revisionPtr revIDLastSave="0" documentId="13_ncr:1_{58C0DF9B-690B-4D50-A632-57005ACD7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6" i="1"/>
  <c r="B17" i="1"/>
  <c r="B18" i="1"/>
  <c r="B13" i="1"/>
</calcChain>
</file>

<file path=xl/sharedStrings.xml><?xml version="1.0" encoding="utf-8"?>
<sst xmlns="http://schemas.openxmlformats.org/spreadsheetml/2006/main" count="7" uniqueCount="7">
  <si>
    <t>Среднее время</t>
  </si>
  <si>
    <t>Амплитуда колебаний</t>
  </si>
  <si>
    <t>I, кг·м²</t>
  </si>
  <si>
    <t>T, с</t>
  </si>
  <si>
    <t>T², с²</t>
  </si>
  <si>
    <t>t, с</t>
  </si>
  <si>
    <t>ln(A0/A)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</si>
</sst>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23101059735953"/>
          <c:y val="7.7353677168772061E-2"/>
          <c:w val="0.84206974128233969"/>
          <c:h val="0.774439498396826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Амплитуда колебаний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38.630000000000003</c:v>
                </c:pt>
                <c:pt idx="2">
                  <c:v>91</c:v>
                </c:pt>
                <c:pt idx="3">
                  <c:v>148.31</c:v>
                </c:pt>
                <c:pt idx="4">
                  <c:v>218.07</c:v>
                </c:pt>
                <c:pt idx="5">
                  <c:v>288.77999999999997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37-4AED-9A53-385DDF628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36319"/>
        <c:axId val="83642079"/>
      </c:scatterChart>
      <c:valAx>
        <c:axId val="83636319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/>
                  <a:t>Время</a:t>
                </a:r>
                <a:r>
                  <a:rPr lang="en-US" b="1"/>
                  <a:t>,</a:t>
                </a:r>
                <a:r>
                  <a:rPr lang="en-US" b="1" baseline="0"/>
                  <a:t> t, </a:t>
                </a:r>
                <a:r>
                  <a:rPr lang="ru-RU" b="1" baseline="0"/>
                  <a:t>с</a:t>
                </a:r>
                <a:endParaRPr lang="ru-RU" b="1"/>
              </a:p>
            </c:rich>
          </c:tx>
          <c:layout>
            <c:manualLayout>
              <c:xMode val="edge"/>
              <c:yMode val="edge"/>
              <c:x val="0.45439741084995966"/>
              <c:y val="0.921811557081756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42079"/>
        <c:crosses val="autoZero"/>
        <c:crossBetween val="midCat"/>
      </c:valAx>
      <c:valAx>
        <c:axId val="8364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baseline="0">
                    <a:effectLst/>
                  </a:rPr>
                  <a:t>Амплитуда</a:t>
                </a:r>
                <a:r>
                  <a:rPr lang="en-US" sz="1000" b="1" i="0" u="none" strike="noStrike" baseline="0">
                    <a:effectLst/>
                  </a:rPr>
                  <a:t>, A, </a:t>
                </a:r>
                <a:r>
                  <a:rPr lang="ru-RU" sz="1000" b="1" i="0" u="none" strike="noStrike" baseline="0">
                    <a:effectLst/>
                  </a:rPr>
                  <a:t>°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5062656641604009E-2"/>
              <c:y val="0.3019066254883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36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78781042109117"/>
          <c:y val="7.4816018965371267E-2"/>
          <c:w val="0.81967628733376485"/>
          <c:h val="0.7576162809523907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7892972577273113"/>
                  <c:y val="-6.19127931589196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Sheet1!$A$12:$A$18</c:f>
              <c:numCache>
                <c:formatCode>General</c:formatCode>
                <c:ptCount val="7"/>
                <c:pt idx="0">
                  <c:v>0</c:v>
                </c:pt>
                <c:pt idx="1">
                  <c:v>3.2000000000000001E-2</c:v>
                </c:pt>
                <c:pt idx="2">
                  <c:v>3.5999999999999997E-2</c:v>
                </c:pt>
                <c:pt idx="3">
                  <c:v>0.04</c:v>
                </c:pt>
                <c:pt idx="4">
                  <c:v>4.5999999999999999E-2</c:v>
                </c:pt>
                <c:pt idx="5">
                  <c:v>5.2999999999999999E-2</c:v>
                </c:pt>
                <c:pt idx="6">
                  <c:v>6.0999999999999999E-2</c:v>
                </c:pt>
              </c:numCache>
            </c:numRef>
          </c:xVal>
          <c:yVal>
            <c:numRef>
              <c:f>Sheet1!$B$12:$B$18</c:f>
              <c:numCache>
                <c:formatCode>0.000</c:formatCode>
                <c:ptCount val="7"/>
                <c:pt idx="0" formatCode="General">
                  <c:v>0</c:v>
                </c:pt>
                <c:pt idx="1">
                  <c:v>2.5568010000000001</c:v>
                </c:pt>
                <c:pt idx="2">
                  <c:v>2.9240999999999997</c:v>
                </c:pt>
                <c:pt idx="3">
                  <c:v>3.254416</c:v>
                </c:pt>
                <c:pt idx="4">
                  <c:v>3.61</c:v>
                </c:pt>
                <c:pt idx="5">
                  <c:v>4.1493690000000001</c:v>
                </c:pt>
                <c:pt idx="6">
                  <c:v>4.8048640000000011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7E-4472-8BD4-A7CFBB50E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97439"/>
        <c:axId val="83608959"/>
      </c:scatterChart>
      <c:valAx>
        <c:axId val="83597439"/>
        <c:scaling>
          <c:orientation val="minMax"/>
          <c:max val="6.1000000000000013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baseline="0">
                    <a:effectLst/>
                  </a:rPr>
                  <a:t>Полный момент инерции, </a:t>
                </a:r>
                <a:r>
                  <a:rPr lang="en-US" sz="1000" b="1" i="0" u="none" strike="noStrike" baseline="0">
                    <a:effectLst/>
                  </a:rPr>
                  <a:t>I, </a:t>
                </a:r>
                <a:r>
                  <a:rPr lang="ru-RU" sz="1000" b="1" i="0" u="none" strike="noStrike" baseline="0">
                    <a:effectLst/>
                  </a:rPr>
                  <a:t>кг·м²</a:t>
                </a:r>
                <a:endParaRPr lang="ru-RU" b="1"/>
              </a:p>
            </c:rich>
          </c:tx>
          <c:layout>
            <c:manualLayout>
              <c:xMode val="edge"/>
              <c:yMode val="edge"/>
              <c:x val="0.30957613782293197"/>
              <c:y val="0.9226768266869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08959"/>
        <c:crosses val="autoZero"/>
        <c:crossBetween val="midCat"/>
      </c:valAx>
      <c:valAx>
        <c:axId val="8360895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baseline="0">
                    <a:effectLst/>
                  </a:rPr>
                  <a:t>Квадрат периода, </a:t>
                </a:r>
                <a:r>
                  <a:rPr lang="en-US" sz="1000" b="1" i="0" u="none" strike="noStrike" baseline="0">
                    <a:effectLst/>
                  </a:rPr>
                  <a:t>T², </a:t>
                </a:r>
                <a:r>
                  <a:rPr lang="ru-RU" sz="1000" b="1" i="0" u="none" strike="noStrike" baseline="0">
                    <a:effectLst/>
                  </a:rPr>
                  <a:t>с²</a:t>
                </a:r>
                <a:r>
                  <a:rPr lang="en-US" b="1" i="0" baseline="0"/>
                  <a:t> </a:t>
                </a:r>
                <a:endParaRPr lang="ru-RU" b="1" i="0" baseline="0"/>
              </a:p>
            </c:rich>
          </c:tx>
          <c:layout>
            <c:manualLayout>
              <c:xMode val="edge"/>
              <c:yMode val="edge"/>
              <c:x val="2.8735764303316823E-2"/>
              <c:y val="0.228710185420370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59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132536951506191"/>
          <c:y val="0.11389700453435349"/>
          <c:w val="0.81926755550903452"/>
          <c:h val="0.685252968913446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ln(A0/A)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9448158857676194E-2"/>
                  <c:y val="-5.29761792399909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Sheet1!$A$23:$A$28</c:f>
              <c:numCache>
                <c:formatCode>General</c:formatCode>
                <c:ptCount val="6"/>
                <c:pt idx="0">
                  <c:v>0</c:v>
                </c:pt>
                <c:pt idx="1">
                  <c:v>38.630000000000003</c:v>
                </c:pt>
                <c:pt idx="2">
                  <c:v>91</c:v>
                </c:pt>
                <c:pt idx="3">
                  <c:v>148.31</c:v>
                </c:pt>
                <c:pt idx="4">
                  <c:v>218.07</c:v>
                </c:pt>
                <c:pt idx="5">
                  <c:v>288.77999999999997</c:v>
                </c:pt>
              </c:numCache>
            </c:numRef>
          </c:xVal>
          <c:yVal>
            <c:numRef>
              <c:f>Sheet1!$B$23:$B$28</c:f>
              <c:numCache>
                <c:formatCode>General</c:formatCode>
                <c:ptCount val="6"/>
                <c:pt idx="0">
                  <c:v>0</c:v>
                </c:pt>
                <c:pt idx="1">
                  <c:v>0.182</c:v>
                </c:pt>
                <c:pt idx="2">
                  <c:v>0.40500000000000003</c:v>
                </c:pt>
                <c:pt idx="3">
                  <c:v>0.69299999999999995</c:v>
                </c:pt>
                <c:pt idx="4">
                  <c:v>1.1000000000000001</c:v>
                </c:pt>
                <c:pt idx="5">
                  <c:v>1.79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5-4B08-B5E7-E9F57DD58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58399"/>
        <c:axId val="83658879"/>
      </c:scatterChart>
      <c:valAx>
        <c:axId val="83658399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="1" i="0" baseline="0"/>
                  <a:t>Время </a:t>
                </a:r>
                <a:r>
                  <a:rPr lang="en-US" b="1" i="0" baseline="0"/>
                  <a:t>t, </a:t>
                </a:r>
                <a:r>
                  <a:rPr lang="ru-RU" b="1" i="0" baseline="0"/>
                  <a:t>с</a:t>
                </a:r>
              </a:p>
            </c:rich>
          </c:tx>
          <c:layout>
            <c:manualLayout>
              <c:xMode val="edge"/>
              <c:yMode val="edge"/>
              <c:x val="0.47481060853864371"/>
              <c:y val="0.89051304690674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8879"/>
        <c:crosses val="autoZero"/>
        <c:crossBetween val="midCat"/>
      </c:valAx>
      <c:valAx>
        <c:axId val="836588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ln(A₀/A)</a:t>
                </a:r>
                <a:endParaRPr lang="ru-RU" b="1" i="0" baseline="0"/>
              </a:p>
            </c:rich>
          </c:tx>
          <c:layout>
            <c:manualLayout>
              <c:xMode val="edge"/>
              <c:yMode val="edge"/>
              <c:x val="2.7694548753309171E-2"/>
              <c:y val="0.3650508943870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3</xdr:row>
      <xdr:rowOff>61912</xdr:rowOff>
    </xdr:from>
    <xdr:to>
      <xdr:col>13</xdr:col>
      <xdr:colOff>123825</xdr:colOff>
      <xdr:row>19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8F61C7-2BD4-A320-FA02-5807485E6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122359</xdr:colOff>
      <xdr:row>20</xdr:row>
      <xdr:rowOff>134083</xdr:rowOff>
    </xdr:from>
    <xdr:to>
      <xdr:col>15</xdr:col>
      <xdr:colOff>93052</xdr:colOff>
      <xdr:row>36</xdr:row>
      <xdr:rowOff>38833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F110B82-518F-6594-9483-2130EB6C7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776651</xdr:colOff>
      <xdr:row>40</xdr:row>
      <xdr:rowOff>49822</xdr:rowOff>
    </xdr:from>
    <xdr:to>
      <xdr:col>8</xdr:col>
      <xdr:colOff>278422</xdr:colOff>
      <xdr:row>54</xdr:row>
      <xdr:rowOff>190499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AC4A250-7453-F27E-F7E9-413EF8FDB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16" zoomScale="160" zoomScaleNormal="160" workbookViewId="0">
      <selection activeCell="Q781" sqref="Q781"/>
    </sheetView>
  </sheetViews>
  <sheetFormatPr defaultRowHeight="15" x14ac:dyDescent="0.25"/>
  <cols>
    <col min="1" max="1" width="16" customWidth="1"/>
    <col min="2" max="2" width="21.5703125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0</v>
      </c>
      <c r="B2">
        <v>30</v>
      </c>
    </row>
    <row r="3" spans="1:3" x14ac:dyDescent="0.25">
      <c r="A3">
        <v>38.630000000000003</v>
      </c>
      <c r="B3">
        <v>25</v>
      </c>
    </row>
    <row r="4" spans="1:3" x14ac:dyDescent="0.25">
      <c r="A4">
        <v>91</v>
      </c>
      <c r="B4">
        <v>20</v>
      </c>
    </row>
    <row r="5" spans="1:3" x14ac:dyDescent="0.25">
      <c r="A5">
        <v>148.31</v>
      </c>
      <c r="B5">
        <v>15</v>
      </c>
    </row>
    <row r="6" spans="1:3" x14ac:dyDescent="0.25">
      <c r="A6">
        <v>218.07</v>
      </c>
      <c r="B6">
        <v>10</v>
      </c>
    </row>
    <row r="7" spans="1:3" x14ac:dyDescent="0.25">
      <c r="A7">
        <v>288.77999999999997</v>
      </c>
      <c r="B7">
        <v>5</v>
      </c>
    </row>
    <row r="11" spans="1:3" x14ac:dyDescent="0.25">
      <c r="A11" t="s">
        <v>2</v>
      </c>
      <c r="B11" t="s">
        <v>4</v>
      </c>
      <c r="C11" t="s">
        <v>3</v>
      </c>
    </row>
    <row r="12" spans="1:3" x14ac:dyDescent="0.25">
      <c r="A12">
        <v>0</v>
      </c>
      <c r="B12">
        <v>0</v>
      </c>
      <c r="C12">
        <v>0</v>
      </c>
    </row>
    <row r="13" spans="1:3" x14ac:dyDescent="0.25">
      <c r="A13">
        <v>3.2000000000000001E-2</v>
      </c>
      <c r="B13" s="1">
        <f>C13*C13</f>
        <v>2.5568010000000001</v>
      </c>
      <c r="C13" s="1">
        <v>1.599</v>
      </c>
    </row>
    <row r="14" spans="1:3" x14ac:dyDescent="0.25">
      <c r="A14">
        <v>3.5999999999999997E-2</v>
      </c>
      <c r="B14" s="1">
        <f t="shared" ref="B14:B18" si="0">C14*C14</f>
        <v>2.9240999999999997</v>
      </c>
      <c r="C14" s="1">
        <v>1.71</v>
      </c>
    </row>
    <row r="15" spans="1:3" x14ac:dyDescent="0.25">
      <c r="A15">
        <v>0.04</v>
      </c>
      <c r="B15" s="1">
        <f t="shared" si="0"/>
        <v>3.254416</v>
      </c>
      <c r="C15" s="1">
        <v>1.804</v>
      </c>
    </row>
    <row r="16" spans="1:3" x14ac:dyDescent="0.25">
      <c r="A16">
        <v>4.5999999999999999E-2</v>
      </c>
      <c r="B16" s="1">
        <f t="shared" si="0"/>
        <v>3.61</v>
      </c>
      <c r="C16" s="1">
        <v>1.9</v>
      </c>
    </row>
    <row r="17" spans="1:3" x14ac:dyDescent="0.25">
      <c r="A17">
        <v>5.2999999999999999E-2</v>
      </c>
      <c r="B17" s="1">
        <f t="shared" si="0"/>
        <v>4.1493690000000001</v>
      </c>
      <c r="C17" s="1">
        <v>2.0369999999999999</v>
      </c>
    </row>
    <row r="18" spans="1:3" x14ac:dyDescent="0.25">
      <c r="A18">
        <v>6.0999999999999999E-2</v>
      </c>
      <c r="B18" s="1">
        <f t="shared" si="0"/>
        <v>4.8048640000000011</v>
      </c>
      <c r="C18" s="1">
        <v>2.1920000000000002</v>
      </c>
    </row>
    <row r="22" spans="1:3" x14ac:dyDescent="0.25">
      <c r="A22" t="s">
        <v>5</v>
      </c>
      <c r="B22" t="s">
        <v>6</v>
      </c>
    </row>
    <row r="23" spans="1:3" x14ac:dyDescent="0.25">
      <c r="A23">
        <v>0</v>
      </c>
      <c r="B23">
        <v>0</v>
      </c>
    </row>
    <row r="24" spans="1:3" x14ac:dyDescent="0.25">
      <c r="A24">
        <v>38.630000000000003</v>
      </c>
      <c r="B24">
        <v>0.182</v>
      </c>
    </row>
    <row r="25" spans="1:3" x14ac:dyDescent="0.25">
      <c r="A25">
        <v>91</v>
      </c>
      <c r="B25">
        <v>0.40500000000000003</v>
      </c>
    </row>
    <row r="26" spans="1:3" x14ac:dyDescent="0.25">
      <c r="A26">
        <v>148.31</v>
      </c>
      <c r="B26">
        <v>0.69299999999999995</v>
      </c>
    </row>
    <row r="27" spans="1:3" x14ac:dyDescent="0.25">
      <c r="A27">
        <v>218.07</v>
      </c>
      <c r="B27">
        <v>1.1000000000000001</v>
      </c>
    </row>
    <row r="28" spans="1:3" x14ac:dyDescent="0.25">
      <c r="A28">
        <v>288.77999999999997</v>
      </c>
      <c r="B28">
        <v>1.79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</dc:creator>
  <cp:lastModifiedBy>Bright Girl</cp:lastModifiedBy>
  <dcterms:created xsi:type="dcterms:W3CDTF">2015-06-05T18:17:20Z</dcterms:created>
  <dcterms:modified xsi:type="dcterms:W3CDTF">2025-11-27T08:55:30Z</dcterms:modified>
</cp:coreProperties>
</file>